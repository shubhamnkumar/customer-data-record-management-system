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3f0059c26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f3274aa0b44f20"/>
    <x:sheet xmlns:r="http://schemas.openxmlformats.org/officeDocument/2006/relationships" name="Customer Records" sheetId="2" r:id="Rf93f8b836c6245d4"/>
    <x:sheet xmlns:r="http://schemas.openxmlformats.org/officeDocument/2006/relationships" name="Lists" sheetId="3" r:id="Reb98936f30dc48eb"/>
    <x:sheet xmlns:r="http://schemas.openxmlformats.org/officeDocument/2006/relationships" name="Project Notes" sheetId="4" r:id="Refd3e471e498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ont>
        <x:b/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9e078ea2c4fb5" /><Relationship Type="http://schemas.openxmlformats.org/officeDocument/2006/relationships/theme" Target="/xl/theme/theme1.xml" Id="Rcfa528925c83410e" /><Relationship Type="http://schemas.openxmlformats.org/officeDocument/2006/relationships/sharedStrings" Target="/xl/sharedStrings.xml" Id="Ra199d233139b4eec" /><Relationship Type="http://schemas.openxmlformats.org/officeDocument/2006/relationships/worksheet" Target="/xl/worksheets/sheet1.xml" Id="R74f3274aa0b44f20" /><Relationship Type="http://schemas.openxmlformats.org/officeDocument/2006/relationships/worksheet" Target="/xl/worksheets/sheet2.xml" Id="Rf93f8b836c6245d4" /><Relationship Type="http://schemas.openxmlformats.org/officeDocument/2006/relationships/worksheet" Target="/xl/worksheets/sheet3.xml" Id="Reb98936f30dc48eb" /><Relationship Type="http://schemas.openxmlformats.org/officeDocument/2006/relationships/worksheet" Target="/xl/worksheets/sheet4.xml" Id="Refd3e471e49846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601baaf0a34fe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601baaf0a34f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RecordsTable" displayName="CustomerRecordsTable" ref="A1:L101" headerRowCount="1">
  <x:tableColumns count="12">
    <x:tableColumn id="1" name="Customer ID"/>
    <x:tableColumn id="2" name="Customer Name"/>
    <x:tableColumn id="3" name="Contact"/>
    <x:tableColumn id="4" name="Source"/>
    <x:tableColumn id="5" name="Issue Type"/>
    <x:tableColumn id="6" name="Priority"/>
    <x:tableColumn id="7" name="Status"/>
    <x:tableColumn id="8" name="Assigned To"/>
    <x:tableColumn id="9" name="Date Received"/>
    <x:tableColumn id="10" name="Last Updated"/>
    <x:tableColumn id="11" name="Resolution Days"/>
    <x:tableColumn id="12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c860dedc9a4d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09fe337c2047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22" t="str">
        <x:v>Customer Data &amp; Record Management System</x:v>
      </x:c>
    </x:row>
    <x:row r="3">
      <x:c r="A3" s="5" t="str">
        <x:v>Metric</x:v>
      </x:c>
      <x:c r="B3" s="5" t="str">
        <x:v>Value</x:v>
      </x:c>
      <x:c r="D3" s="5" t="str">
        <x:v>Priority</x:v>
      </x:c>
      <x:c r="E3" s="5" t="str">
        <x:v>Count</x:v>
      </x:c>
    </x:row>
    <x:row r="4">
      <x:c r="A4" s="28" t="str">
        <x:v>Total Records</x:v>
      </x:c>
      <x:c r="B4" s="28" t="n">
        <x:f>COUNTA('Customer Records'!A2:A101)</x:f>
        <x:v>8</x:v>
      </x:c>
      <x:c r="D4" t="str">
        <x:v>High</x:v>
      </x:c>
      <x:c r="E4" t="n">
        <x:f>COUNTIF('Customer Records'!F2:F101,D4)</x:f>
        <x:v>3</x:v>
      </x:c>
    </x:row>
    <x:row r="5">
      <x:c r="A5" s="28" t="str">
        <x:v>Open Records</x:v>
      </x:c>
      <x:c r="B5" s="28" t="n">
        <x:f>COUNTIF('Customer Records'!G2:G101,"Open")</x:f>
        <x:v>2</x:v>
      </x:c>
      <x:c r="D5" t="str">
        <x:v>Medium</x:v>
      </x:c>
      <x:c r="E5" t="n">
        <x:f>COUNTIF('Customer Records'!F3:F102,D5)</x:f>
        <x:v>2</x:v>
      </x:c>
    </x:row>
    <x:row r="6">
      <x:c r="A6" s="28" t="str">
        <x:v>In Progress</x:v>
      </x:c>
      <x:c r="B6" s="28" t="n">
        <x:f>COUNTIF('Customer Records'!G2:G101,"In Progress")</x:f>
        <x:v>2</x:v>
      </x:c>
      <x:c r="D6" t="str">
        <x:v>Low</x:v>
      </x:c>
      <x:c r="E6" t="n">
        <x:f>COUNTIF('Customer Records'!F4:F103,D6)</x:f>
        <x:v>2</x:v>
      </x:c>
    </x:row>
    <x:row r="7">
      <x:c r="A7" s="28" t="str">
        <x:v>Resolved/Closed</x:v>
      </x:c>
      <x:c r="B7" s="28" t="n">
        <x:f>COUNTIF('Customer Records'!G2:G101,"Resolved")+COUNTIF('Customer Records'!G2:G101,"Closed")</x:f>
        <x:v>4</x:v>
      </x:c>
      <x:c r="D7" t="str"/>
      <x:c r="E7" t="str"/>
    </x:row>
    <x:row r="8">
      <x:c r="A8" s="28" t="str">
        <x:v>High Priority</x:v>
      </x:c>
      <x:c r="B8" s="28" t="n">
        <x:f>COUNTIF('Customer Records'!F2:F101,"High")</x:f>
        <x:v>3</x:v>
      </x:c>
    </x:row>
    <x:row r="10">
      <x:c r="A10" s="5" t="str">
        <x:v>Status</x:v>
      </x:c>
      <x:c r="B10" s="5" t="str">
        <x:v>Count</x:v>
      </x:c>
    </x:row>
    <x:row r="11">
      <x:c r="A11" t="str">
        <x:v>Open</x:v>
      </x:c>
      <x:c r="B11" t="n">
        <x:f>COUNTIF('Customer Records'!G2:G101,A11)</x:f>
        <x:v>2</x:v>
      </x:c>
    </x:row>
    <x:row r="12">
      <x:c r="A12" t="str">
        <x:v>In Progress</x:v>
      </x:c>
      <x:c r="B12" t="n">
        <x:f>COUNTIF('Customer Records'!G3:G102,A12)</x:f>
        <x:v>2</x:v>
      </x:c>
    </x:row>
    <x:row r="13">
      <x:c r="A13" t="str">
        <x:v>Resolved</x:v>
      </x:c>
      <x:c r="B13" t="n">
        <x:f>COUNTIF('Customer Records'!G4:G103,A13)</x:f>
        <x:v>1</x:v>
      </x:c>
    </x:row>
    <x:row r="14">
      <x:c r="A14" t="str">
        <x:v>Closed</x:v>
      </x:c>
      <x:c r="B14" t="n">
        <x:f>COUNTIF('Customer Records'!G5:G104,A14)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dc860dedc9a4d5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2" hidden="0" customWidth="1"/>
    <x:col min="5" max="5" width="20" hidden="0" customWidth="1"/>
    <x:col min="6" max="6" width="12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35" hidden="0" customWidth="1"/>
  </x:cols>
  <x:sheetData>
    <x:row r="1">
      <x:c r="A1" s="10" t="str">
        <x:v>Customer ID</x:v>
      </x:c>
      <x:c r="B1" s="10" t="str">
        <x:v>Customer Name</x:v>
      </x:c>
      <x:c r="C1" s="10" t="str">
        <x:v>Contact</x:v>
      </x:c>
      <x:c r="D1" s="10" t="str">
        <x:v>Source</x:v>
      </x:c>
      <x:c r="E1" s="10" t="str">
        <x:v>Issue Type</x:v>
      </x:c>
      <x:c r="F1" s="10" t="str">
        <x:v>Priority</x:v>
      </x:c>
      <x:c r="G1" s="10" t="str">
        <x:v>Status</x:v>
      </x:c>
      <x:c r="H1" s="10" t="str">
        <x:v>Assigned To</x:v>
      </x:c>
      <x:c r="I1" s="10" t="str">
        <x:v>Date Received</x:v>
      </x:c>
      <x:c r="J1" s="10" t="str">
        <x:v>Last Updated</x:v>
      </x:c>
      <x:c r="K1" s="10" t="str">
        <x:v>Resolution Days</x:v>
      </x:c>
      <x:c r="L1" s="10" t="str">
        <x:v>Remarks</x:v>
      </x:c>
    </x:row>
    <x:row r="2">
      <x:c r="A2" s="14" t="str">
        <x:v>CUST-001</x:v>
      </x:c>
      <x:c r="B2" s="14" t="str">
        <x:v>Amit Sharma</x:v>
      </x:c>
      <x:c r="C2" s="14" t="str">
        <x:v>9876543210</x:v>
      </x:c>
      <x:c r="D2" s="14" t="str">
        <x:v>Email</x:v>
      </x:c>
      <x:c r="E2" s="14" t="str">
        <x:v>Service Request</x:v>
      </x:c>
      <x:c r="F2" s="14" t="str">
        <x:v>Medium</x:v>
      </x:c>
      <x:c r="G2" s="14" t="str">
        <x:v>Resolved</x:v>
      </x:c>
      <x:c r="H2" s="14" t="str">
        <x:v>Shubham Kumar</x:v>
      </x:c>
      <x:c r="I2" s="16" t="n">
        <x:v>46143</x:v>
      </x:c>
      <x:c r="J2" s="16" t="n">
        <x:v>46145</x:v>
      </x:c>
      <x:c r="K2" s="18" t="n">
        <x:f>IF(OR(I2="",J2=""),"",J2-I2)</x:f>
        <x:v>2</x:v>
      </x:c>
      <x:c r="L2" s="14" t="str">
        <x:v>Request completed and record updated.</x:v>
      </x:c>
    </x:row>
    <x:row r="3">
      <x:c r="A3" s="14" t="str">
        <x:v>CUST-002</x:v>
      </x:c>
      <x:c r="B3" s="14" t="str">
        <x:v>Priya Singh</x:v>
      </x:c>
      <x:c r="C3" s="14" t="str">
        <x:v>9876501234</x:v>
      </x:c>
      <x:c r="D3" s="14" t="str">
        <x:v>Call</x:v>
      </x:c>
      <x:c r="E3" s="14" t="str">
        <x:v>Complaint</x:v>
      </x:c>
      <x:c r="F3" s="14" t="str">
        <x:v>High</x:v>
      </x:c>
      <x:c r="G3" s="14" t="str">
        <x:v>In Progress</x:v>
      </x:c>
      <x:c r="H3" s="14" t="str">
        <x:v>Shubham Kumar</x:v>
      </x:c>
      <x:c r="I3" s="16" t="n">
        <x:v>46146</x:v>
      </x:c>
      <x:c r="J3" s="16" t="n">
        <x:v>46147</x:v>
      </x:c>
      <x:c r="K3" s="18" t="n">
        <x:f>IF(OR(I3="",J3=""),"",J3-I3)</x:f>
        <x:v>1</x:v>
      </x:c>
      <x:c r="L3" s="14" t="str">
        <x:v>Issue under review; follow-up required.</x:v>
      </x:c>
    </x:row>
    <x:row r="4">
      <x:c r="A4" s="14" t="str">
        <x:v>CUST-003</x:v>
      </x:c>
      <x:c r="B4" s="14" t="str">
        <x:v>Rahul Verma</x:v>
      </x:c>
      <x:c r="C4" s="14" t="str">
        <x:v>9876512345</x:v>
      </x:c>
      <x:c r="D4" s="14" t="str">
        <x:v>Chat</x:v>
      </x:c>
      <x:c r="E4" s="14" t="str">
        <x:v>Information Update</x:v>
      </x:c>
      <x:c r="F4" s="14" t="str">
        <x:v>Low</x:v>
      </x:c>
      <x:c r="G4" s="14" t="str">
        <x:v>Closed</x:v>
      </x:c>
      <x:c r="H4" s="14" t="str">
        <x:v>Team A</x:v>
      </x:c>
      <x:c r="I4" s="16" t="n">
        <x:v>46148</x:v>
      </x:c>
      <x:c r="J4" s="16" t="n">
        <x:v>46148</x:v>
      </x:c>
      <x:c r="K4" s="18" t="n">
        <x:f>IF(OR(I4="",J4=""),"",J4-I4)</x:f>
        <x:v>0</x:v>
      </x:c>
      <x:c r="L4" s="14" t="str">
        <x:v>Details verified and closed.</x:v>
      </x:c>
    </x:row>
    <x:row r="5">
      <x:c r="A5" s="14" t="str">
        <x:v>CUST-004</x:v>
      </x:c>
      <x:c r="B5" s="14" t="str">
        <x:v>Neha Kumari</x:v>
      </x:c>
      <x:c r="C5" s="14" t="str">
        <x:v>9876523456</x:v>
      </x:c>
      <x:c r="D5" s="14" t="str">
        <x:v>Email</x:v>
      </x:c>
      <x:c r="E5" s="14" t="str">
        <x:v>Billing</x:v>
      </x:c>
      <x:c r="F5" s="14" t="str">
        <x:v>High</x:v>
      </x:c>
      <x:c r="G5" s="14" t="str">
        <x:v>Open</x:v>
      </x:c>
      <x:c r="H5" s="14" t="str">
        <x:v>Team B</x:v>
      </x:c>
      <x:c r="I5" s="16" t="n">
        <x:v>46151</x:v>
      </x:c>
      <x:c r="J5" s="16" t="n">
        <x:v>46151</x:v>
      </x:c>
      <x:c r="K5" s="18" t="n">
        <x:f>IF(OR(I5="",J5=""),"",J5-I5)</x:f>
        <x:v>0</x:v>
      </x:c>
      <x:c r="L5" s="14" t="str">
        <x:v>Pending customer confirmation.</x:v>
      </x:c>
    </x:row>
    <x:row r="6">
      <x:c r="A6" s="14" t="str">
        <x:v>CUST-005</x:v>
      </x:c>
      <x:c r="B6" s="14" t="str">
        <x:v>Saurabh Das</x:v>
      </x:c>
      <x:c r="C6" s="14" t="str">
        <x:v>9876534567</x:v>
      </x:c>
      <x:c r="D6" s="14" t="str">
        <x:v>Call</x:v>
      </x:c>
      <x:c r="E6" s="14" t="str">
        <x:v>Follow-up</x:v>
      </x:c>
      <x:c r="F6" s="14" t="str">
        <x:v>Medium</x:v>
      </x:c>
      <x:c r="G6" s="14" t="str">
        <x:v>Resolved</x:v>
      </x:c>
      <x:c r="H6" s="14" t="str">
        <x:v>Shubham Kumar</x:v>
      </x:c>
      <x:c r="I6" s="16" t="n">
        <x:v>46152</x:v>
      </x:c>
      <x:c r="J6" s="16" t="n">
        <x:v>46154</x:v>
      </x:c>
      <x:c r="K6" s="18" t="n">
        <x:f>IF(OR(I6="",J6=""),"",J6-I6)</x:f>
        <x:v>2</x:v>
      </x:c>
      <x:c r="L6" s="14" t="str">
        <x:v>Follow-up completed.</x:v>
      </x:c>
    </x:row>
    <x:row r="7">
      <x:c r="A7" s="14" t="str">
        <x:v>CUST-006</x:v>
      </x:c>
      <x:c r="B7" s="14" t="str">
        <x:v>Anjali Gupta</x:v>
      </x:c>
      <x:c r="C7" s="14" t="str">
        <x:v>9876545678</x:v>
      </x:c>
      <x:c r="D7" s="14" t="str">
        <x:v>Chat</x:v>
      </x:c>
      <x:c r="E7" s="14" t="str">
        <x:v>Complaint</x:v>
      </x:c>
      <x:c r="F7" s="14" t="str">
        <x:v>Medium</x:v>
      </x:c>
      <x:c r="G7" s="14" t="str">
        <x:v>In Progress</x:v>
      </x:c>
      <x:c r="H7" s="14" t="str">
        <x:v>Team A</x:v>
      </x:c>
      <x:c r="I7" s="16" t="n">
        <x:v>46155</x:v>
      </x:c>
      <x:c r="J7" s="16" t="n">
        <x:v>46157</x:v>
      </x:c>
      <x:c r="K7" s="18" t="n">
        <x:f>IF(OR(I7="",J7=""),"",J7-I7)</x:f>
        <x:v>2</x:v>
      </x:c>
      <x:c r="L7" s="14" t="str">
        <x:v>Escalated to senior support.</x:v>
      </x:c>
    </x:row>
    <x:row r="8">
      <x:c r="A8" s="14" t="str">
        <x:v>CUST-007</x:v>
      </x:c>
      <x:c r="B8" s="14" t="str">
        <x:v>Vikas Raj</x:v>
      </x:c>
      <x:c r="C8" s="14" t="str">
        <x:v>9876556789</x:v>
      </x:c>
      <x:c r="D8" s="14" t="str">
        <x:v>Email</x:v>
      </x:c>
      <x:c r="E8" s="14" t="str">
        <x:v>Service Request</x:v>
      </x:c>
      <x:c r="F8" s="14" t="str">
        <x:v>Low</x:v>
      </x:c>
      <x:c r="G8" s="14" t="str">
        <x:v>Closed</x:v>
      </x:c>
      <x:c r="H8" s="14" t="str">
        <x:v>Team B</x:v>
      </x:c>
      <x:c r="I8" s="16" t="n">
        <x:v>46158</x:v>
      </x:c>
      <x:c r="J8" s="16" t="n">
        <x:v>46159</x:v>
      </x:c>
      <x:c r="K8" s="18" t="n">
        <x:f>IF(OR(I8="",J8=""),"",J8-I8)</x:f>
        <x:v>1</x:v>
      </x:c>
      <x:c r="L8" s="14" t="str">
        <x:v>Record updated successfully.</x:v>
      </x:c>
    </x:row>
    <x:row r="9">
      <x:c r="A9" s="14" t="str">
        <x:v>CUST-008</x:v>
      </x:c>
      <x:c r="B9" s="14" t="str">
        <x:v>Pooja Mehta</x:v>
      </x:c>
      <x:c r="C9" s="14" t="str">
        <x:v>9876567890</x:v>
      </x:c>
      <x:c r="D9" s="14" t="str">
        <x:v>Call</x:v>
      </x:c>
      <x:c r="E9" s="14" t="str">
        <x:v>Billing</x:v>
      </x:c>
      <x:c r="F9" s="14" t="str">
        <x:v>High</x:v>
      </x:c>
      <x:c r="G9" s="14" t="str">
        <x:v>Open</x:v>
      </x:c>
      <x:c r="H9" s="14" t="str">
        <x:v>Shubham Kumar</x:v>
      </x:c>
      <x:c r="I9" s="16" t="n">
        <x:v>46162</x:v>
      </x:c>
      <x:c r="J9" s="16" t="n">
        <x:v>46162</x:v>
      </x:c>
      <x:c r="K9" s="18" t="n">
        <x:f>IF(OR(I9="",J9=""),"",J9-I9)</x:f>
        <x:v>0</x:v>
      </x:c>
      <x:c r="L9" s="14" t="str">
        <x:v>Awaiting document verification.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6"/>
      <x:c r="J10" s="16"/>
      <x:c r="K10" s="18" t="str">
        <x:f>IF(OR(I10="",J10=""),"",J10-I10)</x:f>
      </x:c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6"/>
      <x:c r="J11" s="16"/>
      <x:c r="K11" s="18" t="str">
        <x:f>IF(OR(I11="",J11=""),"",J11-I11)</x:f>
      </x:c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6"/>
      <x:c r="J12" s="16"/>
      <x:c r="K12" s="18" t="str">
        <x:f>IF(OR(I12="",J12=""),"",J12-I12)</x:f>
      </x:c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6"/>
      <x:c r="J13" s="16"/>
      <x:c r="K13" s="18" t="str">
        <x:f>IF(OR(I13="",J13=""),"",J13-I13)</x:f>
      </x:c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6"/>
      <x:c r="J14" s="16"/>
      <x:c r="K14" s="18" t="str">
        <x:f>IF(OR(I14="",J14=""),"",J14-I14)</x:f>
      </x:c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6"/>
      <x:c r="J15" s="16"/>
      <x:c r="K15" s="18" t="str">
        <x:f>IF(OR(I15="",J15=""),"",J15-I15)</x:f>
      </x:c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6"/>
      <x:c r="J16" s="16"/>
      <x:c r="K16" s="18" t="str">
        <x:f>IF(OR(I16="",J16=""),"",J16-I16)</x:f>
      </x:c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6"/>
      <x:c r="J17" s="16"/>
      <x:c r="K17" s="18" t="str">
        <x:f>IF(OR(I17="",J17=""),"",J17-I17)</x:f>
      </x:c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6"/>
      <x:c r="J18" s="16"/>
      <x:c r="K18" s="18" t="str">
        <x:f>IF(OR(I18="",J18=""),"",J18-I18)</x:f>
      </x:c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6"/>
      <x:c r="J19" s="16"/>
      <x:c r="K19" s="18" t="str">
        <x:f>IF(OR(I19="",J19=""),"",J19-I19)</x:f>
      </x:c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6"/>
      <x:c r="J20" s="16"/>
      <x:c r="K20" s="18" t="str">
        <x:f>IF(OR(I20="",J20=""),"",J20-I20)</x:f>
      </x:c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6"/>
      <x:c r="J21" s="16"/>
      <x:c r="K21" s="18" t="str">
        <x:f>IF(OR(I21="",J21=""),"",J21-I21)</x:f>
      </x:c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6"/>
      <x:c r="J22" s="16"/>
      <x:c r="K22" s="18" t="str">
        <x:f>IF(OR(I22="",J22=""),"",J22-I22)</x:f>
      </x:c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6"/>
      <x:c r="J23" s="16"/>
      <x:c r="K23" s="18" t="str">
        <x:f>IF(OR(I23="",J23=""),"",J23-I23)</x:f>
      </x:c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6"/>
      <x:c r="J24" s="16"/>
      <x:c r="K24" s="18" t="str">
        <x:f>IF(OR(I24="",J24=""),"",J24-I24)</x:f>
      </x:c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6"/>
      <x:c r="J25" s="16"/>
      <x:c r="K25" s="18" t="str">
        <x:f>IF(OR(I25="",J25=""),"",J25-I25)</x:f>
      </x:c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6"/>
      <x:c r="J26" s="16"/>
      <x:c r="K26" s="18" t="str">
        <x:f>IF(OR(I26="",J26=""),"",J26-I26)</x:f>
      </x:c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6"/>
      <x:c r="J27" s="16"/>
      <x:c r="K27" s="18" t="str">
        <x:f>IF(OR(I27="",J27=""),"",J27-I27)</x:f>
      </x:c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6"/>
      <x:c r="J28" s="16"/>
      <x:c r="K28" s="18" t="str">
        <x:f>IF(OR(I28="",J28=""),"",J28-I28)</x:f>
      </x:c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6"/>
      <x:c r="J29" s="16"/>
      <x:c r="K29" s="18" t="str">
        <x:f>IF(OR(I29="",J29=""),"",J29-I29)</x:f>
      </x:c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6"/>
      <x:c r="J30" s="16"/>
      <x:c r="K30" s="18" t="str">
        <x:f>IF(OR(I30="",J30=""),"",J30-I30)</x:f>
      </x:c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6"/>
      <x:c r="J31" s="16"/>
      <x:c r="K31" s="18" t="str">
        <x:f>IF(OR(I31="",J31=""),"",J31-I31)</x:f>
      </x:c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6"/>
      <x:c r="J32" s="16"/>
      <x:c r="K32" s="18" t="str">
        <x:f>IF(OR(I32="",J32=""),"",J32-I32)</x:f>
      </x:c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6"/>
      <x:c r="J33" s="16"/>
      <x:c r="K33" s="18" t="str">
        <x:f>IF(OR(I33="",J33=""),"",J33-I33)</x:f>
      </x:c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6"/>
      <x:c r="J34" s="16"/>
      <x:c r="K34" s="18" t="str">
        <x:f>IF(OR(I34="",J34=""),"",J34-I34)</x:f>
      </x:c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6"/>
      <x:c r="J35" s="16"/>
      <x:c r="K35" s="18" t="str">
        <x:f>IF(OR(I35="",J35=""),"",J35-I35)</x:f>
      </x:c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6"/>
      <x:c r="J36" s="16"/>
      <x:c r="K36" s="18" t="str">
        <x:f>IF(OR(I36="",J36=""),"",J36-I36)</x:f>
      </x:c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6"/>
      <x:c r="J37" s="16"/>
      <x:c r="K37" s="18" t="str">
        <x:f>IF(OR(I37="",J37=""),"",J37-I37)</x:f>
      </x:c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6"/>
      <x:c r="J38" s="16"/>
      <x:c r="K38" s="18" t="str">
        <x:f>IF(OR(I38="",J38=""),"",J38-I38)</x:f>
      </x:c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6"/>
      <x:c r="J39" s="16"/>
      <x:c r="K39" s="18" t="str">
        <x:f>IF(OR(I39="",J39=""),"",J39-I39)</x:f>
      </x:c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6"/>
      <x:c r="J40" s="16"/>
      <x:c r="K40" s="18" t="str">
        <x:f>IF(OR(I40="",J40=""),"",J40-I40)</x:f>
      </x:c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6"/>
      <x:c r="J41" s="16"/>
      <x:c r="K41" s="18" t="str">
        <x:f>IF(OR(I41="",J41=""),"",J41-I41)</x:f>
      </x:c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6"/>
      <x:c r="J42" s="16"/>
      <x:c r="K42" s="18" t="str">
        <x:f>IF(OR(I42="",J42=""),"",J42-I42)</x:f>
      </x:c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6"/>
      <x:c r="J43" s="16"/>
      <x:c r="K43" s="18" t="str">
        <x:f>IF(OR(I43="",J43=""),"",J43-I43)</x:f>
      </x:c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6"/>
      <x:c r="J44" s="16"/>
      <x:c r="K44" s="18" t="str">
        <x:f>IF(OR(I44="",J44=""),"",J44-I44)</x:f>
      </x:c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6"/>
      <x:c r="J45" s="16"/>
      <x:c r="K45" s="18" t="str">
        <x:f>IF(OR(I45="",J45=""),"",J45-I45)</x:f>
      </x:c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6"/>
      <x:c r="J46" s="16"/>
      <x:c r="K46" s="18" t="str">
        <x:f>IF(OR(I46="",J46=""),"",J46-I46)</x:f>
      </x:c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6"/>
      <x:c r="J47" s="16"/>
      <x:c r="K47" s="18" t="str">
        <x:f>IF(OR(I47="",J47=""),"",J47-I47)</x:f>
      </x:c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6"/>
      <x:c r="J48" s="16"/>
      <x:c r="K48" s="18" t="str">
        <x:f>IF(OR(I48="",J48=""),"",J48-I48)</x:f>
      </x:c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6"/>
      <x:c r="J49" s="16"/>
      <x:c r="K49" s="18" t="str">
        <x:f>IF(OR(I49="",J49=""),"",J49-I49)</x:f>
      </x:c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6"/>
      <x:c r="J50" s="16"/>
      <x:c r="K50" s="18" t="str">
        <x:f>IF(OR(I50="",J50=""),"",J50-I50)</x:f>
      </x:c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6"/>
      <x:c r="J51" s="16"/>
      <x:c r="K51" s="18" t="str">
        <x:f>IF(OR(I51="",J51=""),"",J51-I51)</x:f>
      </x:c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6"/>
      <x:c r="J52" s="16"/>
      <x:c r="K52" s="18" t="str">
        <x:f>IF(OR(I52="",J52=""),"",J52-I52)</x:f>
      </x:c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6"/>
      <x:c r="J53" s="16"/>
      <x:c r="K53" s="18" t="str">
        <x:f>IF(OR(I53="",J53=""),"",J53-I53)</x:f>
      </x:c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6"/>
      <x:c r="J54" s="16"/>
      <x:c r="K54" s="18" t="str">
        <x:f>IF(OR(I54="",J54=""),"",J54-I54)</x:f>
      </x:c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6"/>
      <x:c r="J55" s="16"/>
      <x:c r="K55" s="18" t="str">
        <x:f>IF(OR(I55="",J55=""),"",J55-I55)</x:f>
      </x:c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6"/>
      <x:c r="J56" s="16"/>
      <x:c r="K56" s="18" t="str">
        <x:f>IF(OR(I56="",J56=""),"",J56-I56)</x:f>
      </x:c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6"/>
      <x:c r="J57" s="16"/>
      <x:c r="K57" s="18" t="str">
        <x:f>IF(OR(I57="",J57=""),"",J57-I57)</x:f>
      </x:c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6"/>
      <x:c r="J58" s="16"/>
      <x:c r="K58" s="18" t="str">
        <x:f>IF(OR(I58="",J58=""),"",J58-I58)</x:f>
      </x:c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6"/>
      <x:c r="J59" s="16"/>
      <x:c r="K59" s="18" t="str">
        <x:f>IF(OR(I59="",J59=""),"",J59-I59)</x:f>
      </x:c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6"/>
      <x:c r="J60" s="16"/>
      <x:c r="K60" s="18" t="str">
        <x:f>IF(OR(I60="",J60=""),"",J60-I60)</x:f>
      </x:c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6"/>
      <x:c r="J61" s="16"/>
      <x:c r="K61" s="18" t="str">
        <x:f>IF(OR(I61="",J61=""),"",J61-I61)</x:f>
      </x:c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6"/>
      <x:c r="J62" s="16"/>
      <x:c r="K62" s="18" t="str">
        <x:f>IF(OR(I62="",J62=""),"",J62-I62)</x:f>
      </x:c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6"/>
      <x:c r="J63" s="16"/>
      <x:c r="K63" s="18" t="str">
        <x:f>IF(OR(I63="",J63=""),"",J63-I63)</x:f>
      </x:c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6"/>
      <x:c r="J64" s="16"/>
      <x:c r="K64" s="18" t="str">
        <x:f>IF(OR(I64="",J64=""),"",J64-I64)</x:f>
      </x:c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6"/>
      <x:c r="J65" s="16"/>
      <x:c r="K65" s="18" t="str">
        <x:f>IF(OR(I65="",J65=""),"",J65-I65)</x:f>
      </x:c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6"/>
      <x:c r="J66" s="16"/>
      <x:c r="K66" s="18" t="str">
        <x:f>IF(OR(I66="",J66=""),"",J66-I66)</x:f>
      </x:c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6"/>
      <x:c r="J67" s="16"/>
      <x:c r="K67" s="18" t="str">
        <x:f>IF(OR(I67="",J67=""),"",J67-I67)</x:f>
      </x:c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6"/>
      <x:c r="J68" s="16"/>
      <x:c r="K68" s="18" t="str">
        <x:f>IF(OR(I68="",J68=""),"",J68-I68)</x:f>
      </x:c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6"/>
      <x:c r="J69" s="16"/>
      <x:c r="K69" s="18" t="str">
        <x:f>IF(OR(I69="",J69=""),"",J69-I69)</x:f>
      </x:c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6"/>
      <x:c r="J70" s="16"/>
      <x:c r="K70" s="18" t="str">
        <x:f>IF(OR(I70="",J70=""),"",J70-I70)</x:f>
      </x:c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6"/>
      <x:c r="J71" s="16"/>
      <x:c r="K71" s="18" t="str">
        <x:f>IF(OR(I71="",J71=""),"",J71-I71)</x:f>
      </x:c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6"/>
      <x:c r="J72" s="16"/>
      <x:c r="K72" s="18" t="str">
        <x:f>IF(OR(I72="",J72=""),"",J72-I72)</x:f>
      </x:c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6"/>
      <x:c r="J73" s="16"/>
      <x:c r="K73" s="18" t="str">
        <x:f>IF(OR(I73="",J73=""),"",J73-I73)</x:f>
      </x:c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6"/>
      <x:c r="J74" s="16"/>
      <x:c r="K74" s="18" t="str">
        <x:f>IF(OR(I74="",J74=""),"",J74-I74)</x:f>
      </x:c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6"/>
      <x:c r="J75" s="16"/>
      <x:c r="K75" s="18" t="str">
        <x:f>IF(OR(I75="",J75=""),"",J75-I75)</x:f>
      </x:c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6"/>
      <x:c r="J76" s="16"/>
      <x:c r="K76" s="18" t="str">
        <x:f>IF(OR(I76="",J76=""),"",J76-I76)</x:f>
      </x:c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6"/>
      <x:c r="J77" s="16"/>
      <x:c r="K77" s="18" t="str">
        <x:f>IF(OR(I77="",J77=""),"",J77-I77)</x:f>
      </x:c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6"/>
      <x:c r="J78" s="16"/>
      <x:c r="K78" s="18" t="str">
        <x:f>IF(OR(I78="",J78=""),"",J78-I78)</x:f>
      </x:c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6"/>
      <x:c r="J79" s="16"/>
      <x:c r="K79" s="18" t="str">
        <x:f>IF(OR(I79="",J79=""),"",J79-I79)</x:f>
      </x:c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6"/>
      <x:c r="J80" s="16"/>
      <x:c r="K80" s="18" t="str">
        <x:f>IF(OR(I80="",J80=""),"",J80-I80)</x:f>
      </x:c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6"/>
      <x:c r="J81" s="16"/>
      <x:c r="K81" s="18" t="str">
        <x:f>IF(OR(I81="",J81=""),"",J81-I81)</x:f>
      </x:c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6"/>
      <x:c r="J82" s="16"/>
      <x:c r="K82" s="18" t="str">
        <x:f>IF(OR(I82="",J82=""),"",J82-I82)</x:f>
      </x:c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6"/>
      <x:c r="J83" s="16"/>
      <x:c r="K83" s="18" t="str">
        <x:f>IF(OR(I83="",J83=""),"",J83-I83)</x:f>
      </x:c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6"/>
      <x:c r="J84" s="16"/>
      <x:c r="K84" s="18" t="str">
        <x:f>IF(OR(I84="",J84=""),"",J84-I84)</x:f>
      </x:c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6"/>
      <x:c r="J85" s="16"/>
      <x:c r="K85" s="18" t="str">
        <x:f>IF(OR(I85="",J85=""),"",J85-I85)</x:f>
      </x:c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6"/>
      <x:c r="J86" s="16"/>
      <x:c r="K86" s="18" t="str">
        <x:f>IF(OR(I86="",J86=""),"",J86-I86)</x:f>
      </x:c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6"/>
      <x:c r="J87" s="16"/>
      <x:c r="K87" s="18" t="str">
        <x:f>IF(OR(I87="",J87=""),"",J87-I87)</x:f>
      </x:c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6"/>
      <x:c r="J88" s="16"/>
      <x:c r="K88" s="18" t="str">
        <x:f>IF(OR(I88="",J88=""),"",J88-I88)</x:f>
      </x:c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6"/>
      <x:c r="J89" s="16"/>
      <x:c r="K89" s="18" t="str">
        <x:f>IF(OR(I89="",J89=""),"",J89-I89)</x:f>
      </x:c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6"/>
      <x:c r="J90" s="16"/>
      <x:c r="K90" s="18" t="str">
        <x:f>IF(OR(I90="",J90=""),"",J90-I90)</x:f>
      </x:c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6"/>
      <x:c r="J91" s="16"/>
      <x:c r="K91" s="18" t="str">
        <x:f>IF(OR(I91="",J91=""),"",J91-I91)</x:f>
      </x:c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6"/>
      <x:c r="J92" s="16"/>
      <x:c r="K92" s="18" t="str">
        <x:f>IF(OR(I92="",J92=""),"",J92-I92)</x:f>
      </x:c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6"/>
      <x:c r="J93" s="16"/>
      <x:c r="K93" s="18" t="str">
        <x:f>IF(OR(I93="",J93=""),"",J93-I93)</x:f>
      </x:c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6"/>
      <x:c r="J94" s="16"/>
      <x:c r="K94" s="18" t="str">
        <x:f>IF(OR(I94="",J94=""),"",J94-I94)</x:f>
      </x:c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6"/>
      <x:c r="J95" s="16"/>
      <x:c r="K95" s="18" t="str">
        <x:f>IF(OR(I95="",J95=""),"",J95-I95)</x:f>
      </x:c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6"/>
      <x:c r="J96" s="16"/>
      <x:c r="K96" s="18" t="str">
        <x:f>IF(OR(I96="",J96=""),"",J96-I96)</x:f>
      </x:c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6"/>
      <x:c r="J97" s="16"/>
      <x:c r="K97" s="18" t="str">
        <x:f>IF(OR(I97="",J97=""),"",J97-I97)</x:f>
      </x:c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6"/>
      <x:c r="J98" s="16"/>
      <x:c r="K98" s="18" t="str">
        <x:f>IF(OR(I98="",J98=""),"",J98-I98)</x:f>
      </x:c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6"/>
      <x:c r="J99" s="16"/>
      <x:c r="K99" s="18" t="str">
        <x:f>IF(OR(I99="",J99=""),"",J99-I99)</x:f>
      </x:c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6"/>
      <x:c r="J100" s="16"/>
      <x:c r="K100" s="18" t="str">
        <x:f>IF(OR(I100="",J100=""),"",J100-I100)</x:f>
      </x:c>
      <x:c r="L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6"/>
      <x:c r="J101" s="16"/>
      <x:c r="K101" s="18" t="str">
        <x:f>IF(OR(I101="",J101=""),"",J101-I101)</x:f>
      </x:c>
      <x:c r="L101" s="14"/>
    </x:row>
  </x:sheetData>
  <x:conditionalFormatting sqref="G2:G101">
    <x:cfRule type="expression" dxfId="0" priority="1">
      <x:formula>G2="Open"</x:formula>
    </x:cfRule>
    <x:cfRule type="expression" dxfId="1" priority="2">
      <x:formula>G2="Resolved"</x:formula>
    </x:cfRule>
    <x:cfRule type="expression" dxfId="2" priority="3">
      <x:formula>G2="In Progress"</x:formula>
    </x:cfRule>
  </x:conditionalFormatting>
  <x:conditionalFormatting sqref="F2:F101">
    <x:cfRule type="expression" dxfId="3" priority="4">
      <x:formula>F2="High"</x:formula>
    </x:cfRule>
  </x:conditionalFormatting>
  <x:dataValidations count="4">
    <x:dataValidation type="list" sqref="D2:D101">
      <x:formula1>Lists!$C$2:$C$5</x:formula1>
    </x:dataValidation>
    <x:dataValidation type="list" sqref="E2:E101">
      <x:formula1>Lists!$D$2:$D$6</x:formula1>
    </x:dataValidation>
    <x:dataValidation type="list" sqref="F2:F101">
      <x:formula1>Lists!$B$2:$B$4</x:formula1>
    </x:dataValidation>
    <x:dataValidation type="list" sqref="G2:G101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9fe337c2047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" t="str">
        <x:v>Status</x:v>
      </x:c>
      <x:c r="B1" s="5" t="str">
        <x:v>Priority</x:v>
      </x:c>
      <x:c r="C1" s="5" t="str">
        <x:v>Source</x:v>
      </x:c>
      <x:c r="D1" s="5" t="str">
        <x:v>Issue Type</x:v>
      </x:c>
    </x:row>
    <x:row r="2">
      <x:c r="A2" t="str">
        <x:v>Open</x:v>
      </x:c>
      <x:c r="B2" t="str">
        <x:v>High</x:v>
      </x:c>
      <x:c r="C2" t="str">
        <x:v>Email</x:v>
      </x:c>
      <x:c r="D2" t="str">
        <x:v>Billing</x:v>
      </x:c>
    </x:row>
    <x:row r="3">
      <x:c r="A3" t="str">
        <x:v>In Progress</x:v>
      </x:c>
      <x:c r="B3" t="str">
        <x:v>Medium</x:v>
      </x:c>
      <x:c r="C3" t="str">
        <x:v>Call</x:v>
      </x:c>
      <x:c r="D3" t="str">
        <x:v>Service Request</x:v>
      </x:c>
    </x:row>
    <x:row r="4">
      <x:c r="A4" t="str">
        <x:v>Resolved</x:v>
      </x:c>
      <x:c r="B4" t="str">
        <x:v>Low</x:v>
      </x:c>
      <x:c r="C4" t="str">
        <x:v>Chat</x:v>
      </x:c>
      <x:c r="D4" t="str">
        <x:v>Complaint</x:v>
      </x:c>
    </x:row>
    <x:row r="5">
      <x:c r="A5" t="str">
        <x:v>Closed</x:v>
      </x:c>
      <x:c r="C5" t="str">
        <x:v>Walk-in</x:v>
      </x:c>
      <x:c r="D5" t="str">
        <x:v>Information Update</x:v>
      </x:c>
    </x:row>
    <x:row r="6">
      <x:c r="D6" t="str">
        <x:v>Follow-up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0" hidden="0" customWidth="1"/>
  </x:cols>
  <x:sheetData>
    <x:row r="1">
      <x:c r="A1" s="33" t="str">
        <x:v>Project Overview - Customer Data &amp; Record Management System</x:v>
      </x:c>
    </x:row>
    <x:row r="3">
      <x:c r="A3" s="38" t="str">
        <x:v>Purpose</x:v>
      </x:c>
      <x:c r="B3" s="11" t="str">
        <x:v>To organize customer records, track service status, monitor priority, and prepare simple reports.</x:v>
      </x:c>
    </x:row>
    <x:row r="4">
      <x:c r="A4" s="38" t="str">
        <x:v>Tools Used</x:v>
      </x:c>
      <x:c r="B4" s="11" t="str">
        <x:v>MS Excel, Basic SQL concept, Data Management, Reporting &amp; Documentation</x:v>
      </x:c>
    </x:row>
    <x:row r="5">
      <x:c r="A5" s="38" t="str">
        <x:v>Key Features</x:v>
      </x:c>
      <x:c r="B5" s="11" t="str">
        <x:v>Dropdowns for Status/Priority/Source, auto-calculated resolution days, dashboard KPIs, basic status chart.</x:v>
      </x:c>
    </x:row>
    <x:row r="6">
      <x:c r="A6" s="38" t="str">
        <x:v>Resume Line 1</x:v>
      </x:c>
      <x:c r="B6" s="11" t="str">
        <x:v>Created a customer data and record management system to maintain customer details, service status, and priority-based tracking.</x:v>
      </x:c>
    </x:row>
    <x:row r="7">
      <x:c r="A7" s="38" t="str">
        <x:v>Resume Line 2</x:v>
      </x:c>
      <x:c r="B7" s="11" t="str">
        <x:v>Used Excel formulas, data validation, and dashboard reporting to improve record accuracy and workflow visibility.</x:v>
      </x:c>
    </x:row>
    <x:row r="8">
      <x:c r="A8" s="38" t="str">
        <x:v>Interview Explanation</x:v>
      </x:c>
      <x:c r="B8" s="11" t="str">
        <x:v>This project helps manage customer information in a structured way so teams can track open, in-progress, and resolved records easily.</x:v>
      </x:c>
    </x:row>
  </x:sheetData>
  <x:mergeCells>
    <x:mergeCell ref="A1:F1"/>
  </x:mergeCells>
  <x:pageMargins left="0.7" right="0.7" top="0.75" bottom="0.75" header="0.3" footer="0.3"/>
</x:worksheet>
</file>